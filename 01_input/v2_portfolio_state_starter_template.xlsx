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CLAUDE\ai-portfolio-analyst\01_input\"/>
    </mc:Choice>
  </mc:AlternateContent>
  <xr:revisionPtr revIDLastSave="0" documentId="13_ncr:1_{9214D636-8B19-4832-BFD2-0611F11BE753}" xr6:coauthVersionLast="47" xr6:coauthVersionMax="47" xr10:uidLastSave="{00000000-0000-0000-0000-000000000000}"/>
  <bookViews>
    <workbookView xWindow="-18705" yWindow="135" windowWidth="18900" windowHeight="10890" tabRatio="500" activeTab="1" xr2:uid="{00000000-000D-0000-FFFF-FFFF00000000}"/>
  </bookViews>
  <sheets>
    <sheet name="Start Here" sheetId="1" r:id="rId1"/>
    <sheet name="Portfolio State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14" i="2" l="1"/>
  <c r="J14" i="2"/>
  <c r="K13" i="2"/>
  <c r="J13" i="2"/>
  <c r="K12" i="2"/>
  <c r="J12" i="2"/>
  <c r="K11" i="2"/>
  <c r="J11" i="2"/>
  <c r="K10" i="2"/>
  <c r="J10" i="2"/>
  <c r="K9" i="2"/>
  <c r="J9" i="2"/>
  <c r="K8" i="2"/>
  <c r="J8" i="2"/>
  <c r="K7" i="2"/>
  <c r="J7" i="2"/>
  <c r="K6" i="2"/>
  <c r="J6" i="2"/>
  <c r="K5" i="2"/>
  <c r="J5" i="2"/>
</calcChain>
</file>

<file path=xl/sharedStrings.xml><?xml version="1.0" encoding="utf-8"?>
<sst xmlns="http://schemas.openxmlformats.org/spreadsheetml/2006/main" count="165" uniqueCount="103">
  <si>
    <t>Start Here</t>
  </si>
  <si>
    <t>AI Portfolio Analyst — starter template</t>
  </si>
  <si>
    <t>What you fill in</t>
  </si>
  <si>
    <t>1.</t>
  </si>
  <si>
    <t>Go to the 'Portfolio State' tab.</t>
  </si>
  <si>
    <t>2.</t>
  </si>
  <si>
    <t>For each of the 10 stocks, fill the three YELLOW columns only:</t>
  </si>
  <si>
    <t xml:space="preserve">     Position Status      — Held, Watching or Exited</t>
  </si>
  <si>
    <t xml:space="preserve">     Previous Decision    — Buy, Hold or Sell</t>
  </si>
  <si>
    <t xml:space="preserve">     Previous Notes       — one line on why you hold that view</t>
  </si>
  <si>
    <t>6.</t>
  </si>
  <si>
    <t>Delete the greyed-out EXAMPLE row.</t>
  </si>
  <si>
    <t>7.</t>
  </si>
  <si>
    <t>Save the file. That is all you do by hand — ever.</t>
  </si>
  <si>
    <t>Everything else</t>
  </si>
  <si>
    <t>• Last Review Date and Reference Price are already filled with the 2026-08-04 close.</t>
  </si>
  <si>
    <t>• Change ($) and Change (%) are formulas. They fill themselves.</t>
  </si>
  <si>
    <t>• Every GREY column is written by an agent. Do not type in them.</t>
  </si>
  <si>
    <t>• From the second run onward the agents fill the yellow columns too. You never touch this file again.</t>
  </si>
  <si>
    <t>Colour key</t>
  </si>
  <si>
    <t>You fill it</t>
  </si>
  <si>
    <t>An agent fills it</t>
  </si>
  <si>
    <t>Given data — do not edit</t>
  </si>
  <si>
    <t>Column guide</t>
  </si>
  <si>
    <t>Column</t>
  </si>
  <si>
    <t>Filled by</t>
  </si>
  <si>
    <t>Description</t>
  </si>
  <si>
    <t>Ticker</t>
  </si>
  <si>
    <t>Given</t>
  </si>
  <si>
    <t>Stock symbol.</t>
  </si>
  <si>
    <t>Company</t>
  </si>
  <si>
    <t>Company name.</t>
  </si>
  <si>
    <t>Position Status</t>
  </si>
  <si>
    <t>YOU</t>
  </si>
  <si>
    <t>Held / Watching / Exited.</t>
  </si>
  <si>
    <t>Last Review Date</t>
  </si>
  <si>
    <t>Date of the previous review.</t>
  </si>
  <si>
    <t>Reference Price ($)</t>
  </si>
  <si>
    <t>Close on the last review date.</t>
  </si>
  <si>
    <t>Previous Decision</t>
  </si>
  <si>
    <t>Buy / Hold / Sell from last time.</t>
  </si>
  <si>
    <t>Previous Notes</t>
  </si>
  <si>
    <t>Prior rationale, carried forward.</t>
  </si>
  <si>
    <t>Current Date</t>
  </si>
  <si>
    <t>Agent 02</t>
  </si>
  <si>
    <t>This run's date.</t>
  </si>
  <si>
    <t>Current Price ($)</t>
  </si>
  <si>
    <t>Latest close.</t>
  </si>
  <si>
    <t>Change ($)</t>
  </si>
  <si>
    <t>Formula</t>
  </si>
  <si>
    <t>Current Price − Reference Price.</t>
  </si>
  <si>
    <t>Change (%)</t>
  </si>
  <si>
    <t>Same, as a percentage.</t>
  </si>
  <si>
    <t>Technical View</t>
  </si>
  <si>
    <t>Agent 03</t>
  </si>
  <si>
    <t>Bullish / Neutral / Bearish.</t>
  </si>
  <si>
    <t>Technical Detail</t>
  </si>
  <si>
    <t>RSI, trend, moving averages.</t>
  </si>
  <si>
    <t>Fundamental View</t>
  </si>
  <si>
    <t>Strong / Solid / Weak.</t>
  </si>
  <si>
    <t>Fundamental Detail</t>
  </si>
  <si>
    <t>Growth, margins, valuation.</t>
  </si>
  <si>
    <t>Final Decision</t>
  </si>
  <si>
    <t>Agent 04</t>
  </si>
  <si>
    <t>Buy / Hold / Sell.</t>
  </si>
  <si>
    <t>Confidence (1-5)</t>
  </si>
  <si>
    <t>1 = low, 5 = high.</t>
  </si>
  <si>
    <t>Rationale</t>
  </si>
  <si>
    <t>Why. The graded part.</t>
  </si>
  <si>
    <t>Updated Status</t>
  </si>
  <si>
    <t>Updated / Unchanged.</t>
  </si>
  <si>
    <t>Decision Timestamp</t>
  </si>
  <si>
    <t>When it was written.</t>
  </si>
  <si>
    <t>Classroom exercise. Not investment advice. Do not trade on it.</t>
  </si>
  <si>
    <t>Portfolio State</t>
  </si>
  <si>
    <t>Fill the YELLOW columns only. See the 'Start Here' tab.</t>
  </si>
  <si>
    <t>Held</t>
  </si>
  <si>
    <t>Hold</t>
  </si>
  <si>
    <t>NVDA</t>
  </si>
  <si>
    <t>Nvidia Corp</t>
  </si>
  <si>
    <t>AAPL</t>
  </si>
  <si>
    <t>Apple Inc</t>
  </si>
  <si>
    <t>GOOGL</t>
  </si>
  <si>
    <t>Alphabet Inc Class A</t>
  </si>
  <si>
    <t>MSFT</t>
  </si>
  <si>
    <t>Microsoft Corp</t>
  </si>
  <si>
    <t>AMZN</t>
  </si>
  <si>
    <t>Amazon.com Inc</t>
  </si>
  <si>
    <t>TSM</t>
  </si>
  <si>
    <t>Taiwan Semiconductor Mfg (ADR)</t>
  </si>
  <si>
    <t>SPCX</t>
  </si>
  <si>
    <t>Space Exploration Technologies Cl A</t>
  </si>
  <si>
    <t>AVGO</t>
  </si>
  <si>
    <t>Broadcom Inc</t>
  </si>
  <si>
    <t>META</t>
  </si>
  <si>
    <t>Meta Platforms Inc</t>
  </si>
  <si>
    <t>TSLA</t>
  </si>
  <si>
    <t>Tesla Inc</t>
  </si>
  <si>
    <t>• Last Review Date and Reference Price = 2026-08-04 close (Alpha Vantage, retrieved 2026-09-06).</t>
  </si>
  <si>
    <t>• SPCX began trading 2026-06-12, so it has a shorter history than the other nine.</t>
  </si>
  <si>
    <t>• TSM is the US-listed ADR, not the Taiwan local share.</t>
  </si>
  <si>
    <t>• Prices are unadjusted closes; a split or dividend will look like a price move.</t>
  </si>
  <si>
    <t>• Classroom exercise. Not investment advice.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</si>
</sst>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\$#,##0.00;&quot;($&quot;#,##0.00\);\-"/>
    <numFmt numFmtId="166" formatCode="0.0%;\(0.0%\);\-"/>
  </numFmts>
  <fonts count="9" x14ac:knownFonts="1">
    <font>
      <sz val="11"/>
      <color theme="1"/>
      <name val="Calibri"/>
      <family val="2"/>
      <charset val="1"/>
    </font>
    <font>
      <b/>
      <sz val="16"/>
      <name val="Arial"/>
      <family val="2"/>
    </font>
    <font>
      <i/>
      <sz val="9"/>
      <color rgb="FF80808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0000FF"/>
      <name val="Arial"/>
      <family val="2"/>
    </font>
    <font>
      <b/>
      <sz val="9"/>
      <color rgb="FFFFFFFF"/>
      <name val="Arial"/>
      <family val="2"/>
    </font>
    <font>
      <b/>
      <sz val="14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DEDED"/>
        <bgColor rgb="FFFFFFFF"/>
      </patternFill>
    </fill>
    <fill>
      <patternFill patternType="solid">
        <fgColor rgb="FF1F3864"/>
        <bgColor rgb="FF333333"/>
      </patternFill>
    </fill>
    <fill>
      <patternFill patternType="solid">
        <fgColor rgb="FF9C6500"/>
        <bgColor rgb="FF993300"/>
      </patternFill>
    </fill>
    <fill>
      <patternFill patternType="solid">
        <fgColor rgb="FF595959"/>
        <bgColor rgb="FF215968"/>
      </patternFill>
    </fill>
    <fill>
      <patternFill patternType="solid">
        <fgColor rgb="FF215968"/>
        <bgColor rgb="FF1F38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5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/>
    <xf numFmtId="0" fontId="5" fillId="3" borderId="1" xfId="0" applyFont="1" applyFill="1" applyBorder="1"/>
    <xf numFmtId="0" fontId="6" fillId="0" borderId="1" xfId="0" applyFont="1" applyBorder="1"/>
    <xf numFmtId="0" fontId="7" fillId="4" borderId="1" xfId="0" applyFont="1" applyFill="1" applyBorder="1"/>
    <xf numFmtId="0" fontId="5" fillId="0" borderId="1" xfId="0" applyFont="1" applyBorder="1"/>
    <xf numFmtId="0" fontId="8" fillId="0" borderId="0" xfId="0" applyFont="1"/>
    <xf numFmtId="0" fontId="7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164" fontId="6" fillId="0" borderId="1" xfId="0" applyNumberFormat="1" applyFont="1" applyBorder="1"/>
    <xf numFmtId="165" fontId="6" fillId="0" borderId="1" xfId="0" applyNumberFormat="1" applyFont="1" applyBorder="1"/>
    <xf numFmtId="164" fontId="0" fillId="3" borderId="1" xfId="0" applyNumberFormat="1" applyFill="1" applyBorder="1"/>
    <xf numFmtId="165" fontId="0" fillId="3" borderId="1" xfId="0" applyNumberFormat="1" applyFill="1" applyBorder="1"/>
    <xf numFmtId="165" fontId="5" fillId="0" borderId="1" xfId="0" applyNumberFormat="1" applyFont="1" applyBorder="1"/>
    <xf numFmtId="166" fontId="5" fillId="0" borderId="1" xfId="0" applyNumberFormat="1" applyFont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1596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8"/>
  <sheetViews>
    <sheetView topLeftCell="A12" zoomScaleNormal="100" workbookViewId="0">
      <selection activeCell="A20" sqref="A20"/>
    </sheetView>
  </sheetViews>
  <sheetFormatPr defaultColWidth="8.7109375" defaultRowHeight="15" x14ac:dyDescent="0.25"/>
  <cols>
    <col min="1" max="1" width="26" customWidth="1"/>
    <col min="2" max="2" width="18" customWidth="1"/>
    <col min="3" max="3" width="76" customWidth="1"/>
  </cols>
  <sheetData>
    <row r="1" spans="1:3" ht="20.25" x14ac:dyDescent="0.3">
      <c r="A1" s="2" t="s">
        <v>0</v>
      </c>
    </row>
    <row r="2" spans="1:3" x14ac:dyDescent="0.25">
      <c r="A2" s="3" t="s">
        <v>1</v>
      </c>
    </row>
    <row r="4" spans="1:3" ht="15.75" x14ac:dyDescent="0.25">
      <c r="A4" s="4" t="s">
        <v>2</v>
      </c>
    </row>
    <row r="5" spans="1:3" x14ac:dyDescent="0.25">
      <c r="A5" s="5" t="s">
        <v>3</v>
      </c>
      <c r="B5" s="1" t="s">
        <v>4</v>
      </c>
      <c r="C5" s="1"/>
    </row>
    <row r="6" spans="1:3" x14ac:dyDescent="0.25">
      <c r="A6" s="5" t="s">
        <v>5</v>
      </c>
      <c r="B6" s="1" t="s">
        <v>6</v>
      </c>
      <c r="C6" s="1"/>
    </row>
    <row r="7" spans="1:3" x14ac:dyDescent="0.25">
      <c r="A7" s="5"/>
      <c r="B7" s="1" t="s">
        <v>7</v>
      </c>
      <c r="C7" s="1"/>
    </row>
    <row r="8" spans="1:3" x14ac:dyDescent="0.25">
      <c r="A8" s="5"/>
      <c r="B8" s="1" t="s">
        <v>8</v>
      </c>
      <c r="C8" s="1"/>
    </row>
    <row r="9" spans="1:3" x14ac:dyDescent="0.25">
      <c r="A9" s="5"/>
      <c r="B9" s="1" t="s">
        <v>9</v>
      </c>
      <c r="C9" s="1"/>
    </row>
    <row r="10" spans="1:3" x14ac:dyDescent="0.25">
      <c r="A10" s="5" t="s">
        <v>10</v>
      </c>
      <c r="B10" s="1" t="s">
        <v>11</v>
      </c>
      <c r="C10" s="1"/>
    </row>
    <row r="11" spans="1:3" x14ac:dyDescent="0.25">
      <c r="A11" s="5" t="s">
        <v>12</v>
      </c>
      <c r="B11" s="1" t="s">
        <v>13</v>
      </c>
      <c r="C11" s="1"/>
    </row>
    <row r="13" spans="1:3" ht="15.75" x14ac:dyDescent="0.25">
      <c r="A13" s="4" t="s">
        <v>14</v>
      </c>
    </row>
    <row r="14" spans="1:3" x14ac:dyDescent="0.25">
      <c r="A14" s="1" t="s">
        <v>15</v>
      </c>
      <c r="B14" s="1"/>
      <c r="C14" s="1"/>
    </row>
    <row r="15" spans="1:3" x14ac:dyDescent="0.25">
      <c r="A15" s="1" t="s">
        <v>16</v>
      </c>
      <c r="B15" s="1"/>
      <c r="C15" s="1"/>
    </row>
    <row r="16" spans="1:3" x14ac:dyDescent="0.25">
      <c r="A16" s="1" t="s">
        <v>17</v>
      </c>
      <c r="B16" s="1"/>
      <c r="C16" s="1"/>
    </row>
    <row r="17" spans="1:3" x14ac:dyDescent="0.25">
      <c r="A17" s="1" t="s">
        <v>18</v>
      </c>
      <c r="B17" s="1"/>
      <c r="C17" s="1"/>
    </row>
    <row r="19" spans="1:3" ht="15.75" x14ac:dyDescent="0.25">
      <c r="A19" s="4" t="s">
        <v>19</v>
      </c>
    </row>
    <row r="20" spans="1:3" x14ac:dyDescent="0.25">
      <c r="A20" s="6" t="s">
        <v>20</v>
      </c>
    </row>
    <row r="21" spans="1:3" x14ac:dyDescent="0.25">
      <c r="A21" s="7" t="s">
        <v>21</v>
      </c>
    </row>
    <row r="22" spans="1:3" x14ac:dyDescent="0.25">
      <c r="A22" s="8" t="s">
        <v>22</v>
      </c>
    </row>
    <row r="25" spans="1:3" ht="15.75" x14ac:dyDescent="0.25">
      <c r="A25" s="4" t="s">
        <v>23</v>
      </c>
    </row>
    <row r="26" spans="1:3" x14ac:dyDescent="0.25">
      <c r="A26" s="9" t="s">
        <v>24</v>
      </c>
      <c r="B26" s="9" t="s">
        <v>25</v>
      </c>
      <c r="C26" s="9" t="s">
        <v>26</v>
      </c>
    </row>
    <row r="27" spans="1:3" x14ac:dyDescent="0.25">
      <c r="A27" s="10" t="s">
        <v>27</v>
      </c>
      <c r="B27" s="10" t="s">
        <v>28</v>
      </c>
      <c r="C27" s="10" t="s">
        <v>29</v>
      </c>
    </row>
    <row r="28" spans="1:3" x14ac:dyDescent="0.25">
      <c r="A28" s="10" t="s">
        <v>30</v>
      </c>
      <c r="B28" s="10" t="s">
        <v>28</v>
      </c>
      <c r="C28" s="10" t="s">
        <v>31</v>
      </c>
    </row>
    <row r="29" spans="1:3" x14ac:dyDescent="0.25">
      <c r="A29" s="10" t="s">
        <v>32</v>
      </c>
      <c r="B29" s="6" t="s">
        <v>33</v>
      </c>
      <c r="C29" s="10" t="s">
        <v>34</v>
      </c>
    </row>
    <row r="30" spans="1:3" x14ac:dyDescent="0.25">
      <c r="A30" s="10" t="s">
        <v>35</v>
      </c>
      <c r="B30" s="10" t="s">
        <v>28</v>
      </c>
      <c r="C30" s="10" t="s">
        <v>36</v>
      </c>
    </row>
    <row r="31" spans="1:3" x14ac:dyDescent="0.25">
      <c r="A31" s="10" t="s">
        <v>37</v>
      </c>
      <c r="B31" s="10" t="s">
        <v>28</v>
      </c>
      <c r="C31" s="10" t="s">
        <v>38</v>
      </c>
    </row>
    <row r="32" spans="1:3" x14ac:dyDescent="0.25">
      <c r="A32" s="10" t="s">
        <v>39</v>
      </c>
      <c r="B32" s="6" t="s">
        <v>33</v>
      </c>
      <c r="C32" s="10" t="s">
        <v>40</v>
      </c>
    </row>
    <row r="33" spans="1:3" x14ac:dyDescent="0.25">
      <c r="A33" s="10" t="s">
        <v>41</v>
      </c>
      <c r="B33" s="6" t="s">
        <v>33</v>
      </c>
      <c r="C33" s="10" t="s">
        <v>42</v>
      </c>
    </row>
    <row r="34" spans="1:3" x14ac:dyDescent="0.25">
      <c r="A34" s="10" t="s">
        <v>43</v>
      </c>
      <c r="B34" s="7" t="s">
        <v>44</v>
      </c>
      <c r="C34" s="10" t="s">
        <v>45</v>
      </c>
    </row>
    <row r="35" spans="1:3" x14ac:dyDescent="0.25">
      <c r="A35" s="10" t="s">
        <v>46</v>
      </c>
      <c r="B35" s="7" t="s">
        <v>44</v>
      </c>
      <c r="C35" s="10" t="s">
        <v>47</v>
      </c>
    </row>
    <row r="36" spans="1:3" x14ac:dyDescent="0.25">
      <c r="A36" s="10" t="s">
        <v>48</v>
      </c>
      <c r="B36" s="10" t="s">
        <v>49</v>
      </c>
      <c r="C36" s="10" t="s">
        <v>50</v>
      </c>
    </row>
    <row r="37" spans="1:3" x14ac:dyDescent="0.25">
      <c r="A37" s="10" t="s">
        <v>51</v>
      </c>
      <c r="B37" s="10" t="s">
        <v>49</v>
      </c>
      <c r="C37" s="10" t="s">
        <v>52</v>
      </c>
    </row>
    <row r="38" spans="1:3" x14ac:dyDescent="0.25">
      <c r="A38" s="10" t="s">
        <v>53</v>
      </c>
      <c r="B38" s="7" t="s">
        <v>54</v>
      </c>
      <c r="C38" s="10" t="s">
        <v>55</v>
      </c>
    </row>
    <row r="39" spans="1:3" x14ac:dyDescent="0.25">
      <c r="A39" s="10" t="s">
        <v>56</v>
      </c>
      <c r="B39" s="7" t="s">
        <v>54</v>
      </c>
      <c r="C39" s="10" t="s">
        <v>57</v>
      </c>
    </row>
    <row r="40" spans="1:3" x14ac:dyDescent="0.25">
      <c r="A40" s="10" t="s">
        <v>58</v>
      </c>
      <c r="B40" s="7" t="s">
        <v>54</v>
      </c>
      <c r="C40" s="10" t="s">
        <v>59</v>
      </c>
    </row>
    <row r="41" spans="1:3" x14ac:dyDescent="0.25">
      <c r="A41" s="10" t="s">
        <v>60</v>
      </c>
      <c r="B41" s="7" t="s">
        <v>54</v>
      </c>
      <c r="C41" s="10" t="s">
        <v>61</v>
      </c>
    </row>
    <row r="42" spans="1:3" x14ac:dyDescent="0.25">
      <c r="A42" s="10" t="s">
        <v>62</v>
      </c>
      <c r="B42" s="7" t="s">
        <v>63</v>
      </c>
      <c r="C42" s="10" t="s">
        <v>64</v>
      </c>
    </row>
    <row r="43" spans="1:3" x14ac:dyDescent="0.25">
      <c r="A43" s="10" t="s">
        <v>65</v>
      </c>
      <c r="B43" s="7" t="s">
        <v>63</v>
      </c>
      <c r="C43" s="10" t="s">
        <v>66</v>
      </c>
    </row>
    <row r="44" spans="1:3" x14ac:dyDescent="0.25">
      <c r="A44" s="10" t="s">
        <v>67</v>
      </c>
      <c r="B44" s="7" t="s">
        <v>63</v>
      </c>
      <c r="C44" s="10" t="s">
        <v>68</v>
      </c>
    </row>
    <row r="45" spans="1:3" x14ac:dyDescent="0.25">
      <c r="A45" s="10" t="s">
        <v>69</v>
      </c>
      <c r="B45" s="7" t="s">
        <v>63</v>
      </c>
      <c r="C45" s="10" t="s">
        <v>70</v>
      </c>
    </row>
    <row r="46" spans="1:3" x14ac:dyDescent="0.25">
      <c r="A46" s="10" t="s">
        <v>71</v>
      </c>
      <c r="B46" s="7" t="s">
        <v>63</v>
      </c>
      <c r="C46" s="10" t="s">
        <v>72</v>
      </c>
    </row>
    <row r="48" spans="1:3" x14ac:dyDescent="0.25">
      <c r="A48" s="3" t="s">
        <v>73</v>
      </c>
    </row>
  </sheetData>
  <mergeCells count="11">
    <mergeCell ref="A17:C17"/>
    <mergeCell ref="B10:C10"/>
    <mergeCell ref="B11:C11"/>
    <mergeCell ref="A14:C14"/>
    <mergeCell ref="A15:C15"/>
    <mergeCell ref="A16:C16"/>
    <mergeCell ref="B5:C5"/>
    <mergeCell ref="B6:C6"/>
    <mergeCell ref="B7:C7"/>
    <mergeCell ref="B8:C8"/>
    <mergeCell ref="B9:C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0"/>
  <sheetViews>
    <sheetView tabSelected="1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5" sqref="A5:XFD5"/>
    </sheetView>
  </sheetViews>
  <sheetFormatPr defaultColWidth="8.7109375" defaultRowHeight="15" x14ac:dyDescent="0.25"/>
  <cols>
    <col min="1" max="1" width="10" customWidth="1"/>
    <col min="2" max="2" width="30" customWidth="1"/>
    <col min="3" max="3" width="14" customWidth="1"/>
    <col min="4" max="6" width="15" customWidth="1"/>
    <col min="7" max="7" width="34" customWidth="1"/>
    <col min="8" max="8" width="13" customWidth="1"/>
    <col min="9" max="9" width="14" customWidth="1"/>
    <col min="10" max="10" width="12" customWidth="1"/>
    <col min="11" max="11" width="11" customWidth="1"/>
    <col min="12" max="12" width="13" customWidth="1"/>
    <col min="13" max="13" width="34" customWidth="1"/>
    <col min="14" max="14" width="14" customWidth="1"/>
    <col min="15" max="15" width="34" customWidth="1"/>
    <col min="16" max="16" width="13" customWidth="1"/>
    <col min="17" max="17" width="12" customWidth="1"/>
    <col min="18" max="18" width="40" customWidth="1"/>
    <col min="19" max="19" width="13" customWidth="1"/>
    <col min="20" max="20" width="19" customWidth="1"/>
  </cols>
  <sheetData>
    <row r="1" spans="1:20" ht="18" x14ac:dyDescent="0.25">
      <c r="A1" s="11" t="s">
        <v>74</v>
      </c>
    </row>
    <row r="2" spans="1:20" x14ac:dyDescent="0.25">
      <c r="A2" s="3" t="s">
        <v>75</v>
      </c>
    </row>
    <row r="4" spans="1:20" ht="43.5" customHeight="1" x14ac:dyDescent="0.25">
      <c r="A4" s="12" t="s">
        <v>27</v>
      </c>
      <c r="B4" s="12" t="s">
        <v>30</v>
      </c>
      <c r="C4" s="13" t="s">
        <v>32</v>
      </c>
      <c r="D4" s="12" t="s">
        <v>35</v>
      </c>
      <c r="E4" s="12" t="s">
        <v>37</v>
      </c>
      <c r="F4" s="13" t="s">
        <v>39</v>
      </c>
      <c r="G4" s="13" t="s">
        <v>41</v>
      </c>
      <c r="H4" s="14" t="s">
        <v>43</v>
      </c>
      <c r="I4" s="14" t="s">
        <v>46</v>
      </c>
      <c r="J4" s="15" t="s">
        <v>48</v>
      </c>
      <c r="K4" s="15" t="s">
        <v>51</v>
      </c>
      <c r="L4" s="14" t="s">
        <v>53</v>
      </c>
      <c r="M4" s="14" t="s">
        <v>56</v>
      </c>
      <c r="N4" s="14" t="s">
        <v>58</v>
      </c>
      <c r="O4" s="14" t="s">
        <v>60</v>
      </c>
      <c r="P4" s="14" t="s">
        <v>62</v>
      </c>
      <c r="Q4" s="14" t="s">
        <v>65</v>
      </c>
      <c r="R4" s="14" t="s">
        <v>67</v>
      </c>
      <c r="S4" s="14" t="s">
        <v>69</v>
      </c>
      <c r="T4" s="14" t="s">
        <v>71</v>
      </c>
    </row>
    <row r="5" spans="1:20" x14ac:dyDescent="0.25">
      <c r="A5" s="10" t="s">
        <v>78</v>
      </c>
      <c r="B5" s="10" t="s">
        <v>79</v>
      </c>
      <c r="C5" s="16" t="s">
        <v>76</v>
      </c>
      <c r="D5" s="17">
        <v>46238</v>
      </c>
      <c r="E5" s="18">
        <v>211.94</v>
      </c>
      <c r="F5" s="16" t="s">
        <v>77</v>
      </c>
      <c r="G5" s="16" t="s">
        <v>76</v>
      </c>
      <c r="H5" s="19"/>
      <c r="I5" s="20"/>
      <c r="J5" s="21" t="str">
        <f t="shared" ref="J5:J14" si="0">IF(OR($I5="",$E5=""),"",$I5-$E5)</f>
        <v/>
      </c>
      <c r="K5" s="22" t="str">
        <f t="shared" ref="K5:K14" si="1">IF(OR($I5="",$E5="",$E5=0),"",($I5-$E5)/$E5)</f>
        <v/>
      </c>
      <c r="L5" s="23"/>
      <c r="M5" s="24"/>
      <c r="N5" s="23"/>
      <c r="O5" s="24"/>
      <c r="P5" s="23"/>
      <c r="Q5" s="23"/>
      <c r="R5" s="24"/>
      <c r="S5" s="23"/>
      <c r="T5" s="25"/>
    </row>
    <row r="6" spans="1:20" x14ac:dyDescent="0.25">
      <c r="A6" s="10" t="s">
        <v>80</v>
      </c>
      <c r="B6" s="10" t="s">
        <v>81</v>
      </c>
      <c r="C6" s="16" t="s">
        <v>76</v>
      </c>
      <c r="D6" s="17">
        <v>46238</v>
      </c>
      <c r="E6" s="18">
        <v>309.38</v>
      </c>
      <c r="F6" s="16" t="s">
        <v>77</v>
      </c>
      <c r="G6" s="16" t="s">
        <v>76</v>
      </c>
      <c r="H6" s="19"/>
      <c r="I6" s="20"/>
      <c r="J6" s="21" t="str">
        <f t="shared" si="0"/>
        <v/>
      </c>
      <c r="K6" s="22" t="str">
        <f t="shared" si="1"/>
        <v/>
      </c>
      <c r="L6" s="23"/>
      <c r="M6" s="24"/>
      <c r="N6" s="23"/>
      <c r="O6" s="24"/>
      <c r="P6" s="23"/>
      <c r="Q6" s="23"/>
      <c r="R6" s="24"/>
      <c r="S6" s="23"/>
      <c r="T6" s="25"/>
    </row>
    <row r="7" spans="1:20" x14ac:dyDescent="0.25">
      <c r="A7" s="10" t="s">
        <v>82</v>
      </c>
      <c r="B7" s="10" t="s">
        <v>83</v>
      </c>
      <c r="C7" s="16" t="s">
        <v>76</v>
      </c>
      <c r="D7" s="17">
        <v>46238</v>
      </c>
      <c r="E7" s="18">
        <v>377.65</v>
      </c>
      <c r="F7" s="16" t="s">
        <v>77</v>
      </c>
      <c r="G7" s="16" t="s">
        <v>76</v>
      </c>
      <c r="H7" s="19"/>
      <c r="I7" s="20"/>
      <c r="J7" s="21" t="str">
        <f t="shared" si="0"/>
        <v/>
      </c>
      <c r="K7" s="22" t="str">
        <f t="shared" si="1"/>
        <v/>
      </c>
      <c r="L7" s="23"/>
      <c r="M7" s="24"/>
      <c r="N7" s="23"/>
      <c r="O7" s="24"/>
      <c r="P7" s="23"/>
      <c r="Q7" s="23"/>
      <c r="R7" s="24"/>
      <c r="S7" s="23"/>
      <c r="T7" s="25"/>
    </row>
    <row r="8" spans="1:20" x14ac:dyDescent="0.25">
      <c r="A8" s="10" t="s">
        <v>84</v>
      </c>
      <c r="B8" s="10" t="s">
        <v>85</v>
      </c>
      <c r="C8" s="16" t="s">
        <v>76</v>
      </c>
      <c r="D8" s="17">
        <v>46238</v>
      </c>
      <c r="E8" s="18">
        <v>492.81</v>
      </c>
      <c r="F8" s="16" t="s">
        <v>77</v>
      </c>
      <c r="G8" s="16" t="s">
        <v>76</v>
      </c>
      <c r="H8" s="19"/>
      <c r="I8" s="20"/>
      <c r="J8" s="21" t="str">
        <f t="shared" si="0"/>
        <v/>
      </c>
      <c r="K8" s="22" t="str">
        <f t="shared" si="1"/>
        <v/>
      </c>
      <c r="L8" s="23"/>
      <c r="M8" s="24"/>
      <c r="N8" s="23"/>
      <c r="O8" s="24"/>
      <c r="P8" s="23"/>
      <c r="Q8" s="23"/>
      <c r="R8" s="24"/>
      <c r="S8" s="23"/>
      <c r="T8" s="25"/>
    </row>
    <row r="9" spans="1:20" x14ac:dyDescent="0.25">
      <c r="A9" s="10" t="s">
        <v>86</v>
      </c>
      <c r="B9" s="10" t="s">
        <v>87</v>
      </c>
      <c r="C9" s="16" t="s">
        <v>76</v>
      </c>
      <c r="D9" s="17">
        <v>46238</v>
      </c>
      <c r="E9" s="18">
        <v>277.42</v>
      </c>
      <c r="F9" s="16" t="s">
        <v>77</v>
      </c>
      <c r="G9" s="16" t="s">
        <v>76</v>
      </c>
      <c r="H9" s="19"/>
      <c r="I9" s="20"/>
      <c r="J9" s="21" t="str">
        <f t="shared" si="0"/>
        <v/>
      </c>
      <c r="K9" s="22" t="str">
        <f t="shared" si="1"/>
        <v/>
      </c>
      <c r="L9" s="23"/>
      <c r="M9" s="24"/>
      <c r="N9" s="23"/>
      <c r="O9" s="24"/>
      <c r="P9" s="23"/>
      <c r="Q9" s="23"/>
      <c r="R9" s="24"/>
      <c r="S9" s="23"/>
      <c r="T9" s="25"/>
    </row>
    <row r="10" spans="1:20" x14ac:dyDescent="0.25">
      <c r="A10" s="10" t="s">
        <v>88</v>
      </c>
      <c r="B10" s="10" t="s">
        <v>89</v>
      </c>
      <c r="C10" s="16" t="s">
        <v>76</v>
      </c>
      <c r="D10" s="17">
        <v>46238</v>
      </c>
      <c r="E10" s="18">
        <v>417.17</v>
      </c>
      <c r="F10" s="16" t="s">
        <v>77</v>
      </c>
      <c r="G10" s="16" t="s">
        <v>76</v>
      </c>
      <c r="H10" s="19"/>
      <c r="I10" s="20"/>
      <c r="J10" s="21" t="str">
        <f t="shared" si="0"/>
        <v/>
      </c>
      <c r="K10" s="22" t="str">
        <f t="shared" si="1"/>
        <v/>
      </c>
      <c r="L10" s="23"/>
      <c r="M10" s="24"/>
      <c r="N10" s="23"/>
      <c r="O10" s="24"/>
      <c r="P10" s="23"/>
      <c r="Q10" s="23"/>
      <c r="R10" s="24"/>
      <c r="S10" s="23"/>
      <c r="T10" s="25"/>
    </row>
    <row r="11" spans="1:20" x14ac:dyDescent="0.25">
      <c r="A11" s="10" t="s">
        <v>90</v>
      </c>
      <c r="B11" s="10" t="s">
        <v>91</v>
      </c>
      <c r="C11" s="16" t="s">
        <v>76</v>
      </c>
      <c r="D11" s="17">
        <v>46238</v>
      </c>
      <c r="E11" s="18">
        <v>125.33</v>
      </c>
      <c r="F11" s="16" t="s">
        <v>77</v>
      </c>
      <c r="G11" s="16" t="s">
        <v>76</v>
      </c>
      <c r="H11" s="19"/>
      <c r="I11" s="20"/>
      <c r="J11" s="21" t="str">
        <f t="shared" si="0"/>
        <v/>
      </c>
      <c r="K11" s="22" t="str">
        <f t="shared" si="1"/>
        <v/>
      </c>
      <c r="L11" s="23"/>
      <c r="M11" s="24"/>
      <c r="N11" s="23"/>
      <c r="O11" s="24"/>
      <c r="P11" s="23"/>
      <c r="Q11" s="23"/>
      <c r="R11" s="24"/>
      <c r="S11" s="23"/>
      <c r="T11" s="25"/>
    </row>
    <row r="12" spans="1:20" x14ac:dyDescent="0.25">
      <c r="A12" s="10" t="s">
        <v>92</v>
      </c>
      <c r="B12" s="10" t="s">
        <v>93</v>
      </c>
      <c r="C12" s="16" t="s">
        <v>76</v>
      </c>
      <c r="D12" s="17">
        <v>46238</v>
      </c>
      <c r="E12" s="18">
        <v>418.16</v>
      </c>
      <c r="F12" s="16" t="s">
        <v>77</v>
      </c>
      <c r="G12" s="16" t="s">
        <v>76</v>
      </c>
      <c r="H12" s="19"/>
      <c r="I12" s="20"/>
      <c r="J12" s="21" t="str">
        <f t="shared" si="0"/>
        <v/>
      </c>
      <c r="K12" s="22" t="str">
        <f t="shared" si="1"/>
        <v/>
      </c>
      <c r="L12" s="23"/>
      <c r="M12" s="24"/>
      <c r="N12" s="23"/>
      <c r="O12" s="24"/>
      <c r="P12" s="23"/>
      <c r="Q12" s="23"/>
      <c r="R12" s="24"/>
      <c r="S12" s="23"/>
      <c r="T12" s="25"/>
    </row>
    <row r="13" spans="1:20" x14ac:dyDescent="0.25">
      <c r="A13" s="10" t="s">
        <v>94</v>
      </c>
      <c r="B13" s="10" t="s">
        <v>95</v>
      </c>
      <c r="C13" s="16" t="s">
        <v>76</v>
      </c>
      <c r="D13" s="17">
        <v>46238</v>
      </c>
      <c r="E13" s="18">
        <v>587.94000000000005</v>
      </c>
      <c r="F13" s="16" t="s">
        <v>77</v>
      </c>
      <c r="G13" s="16" t="s">
        <v>76</v>
      </c>
      <c r="H13" s="19"/>
      <c r="I13" s="20"/>
      <c r="J13" s="21" t="str">
        <f t="shared" si="0"/>
        <v/>
      </c>
      <c r="K13" s="22" t="str">
        <f t="shared" si="1"/>
        <v/>
      </c>
      <c r="L13" s="23"/>
      <c r="M13" s="24"/>
      <c r="N13" s="23"/>
      <c r="O13" s="24"/>
      <c r="P13" s="23"/>
      <c r="Q13" s="23"/>
      <c r="R13" s="24"/>
      <c r="S13" s="23"/>
      <c r="T13" s="25"/>
    </row>
    <row r="14" spans="1:20" x14ac:dyDescent="0.25">
      <c r="A14" s="10" t="s">
        <v>96</v>
      </c>
      <c r="B14" s="10" t="s">
        <v>97</v>
      </c>
      <c r="C14" s="16" t="s">
        <v>76</v>
      </c>
      <c r="D14" s="17">
        <v>46238</v>
      </c>
      <c r="E14" s="18">
        <v>327.35000000000002</v>
      </c>
      <c r="F14" s="16" t="s">
        <v>77</v>
      </c>
      <c r="G14" s="16" t="s">
        <v>76</v>
      </c>
      <c r="H14" s="19"/>
      <c r="I14" s="20"/>
      <c r="J14" s="21" t="str">
        <f t="shared" si="0"/>
        <v/>
      </c>
      <c r="K14" s="22" t="str">
        <f t="shared" si="1"/>
        <v/>
      </c>
      <c r="L14" s="23"/>
      <c r="M14" s="24"/>
      <c r="N14" s="23"/>
      <c r="O14" s="24"/>
      <c r="P14" s="23"/>
      <c r="Q14" s="23"/>
      <c r="R14" s="24"/>
      <c r="S14" s="23"/>
      <c r="T14" s="25"/>
    </row>
    <row r="16" spans="1:20" x14ac:dyDescent="0.25">
      <c r="A16" s="3" t="s">
        <v>98</v>
      </c>
    </row>
    <row r="17" spans="1:1" x14ac:dyDescent="0.25">
      <c r="A17" s="3" t="s">
        <v>99</v>
      </c>
    </row>
    <row r="18" spans="1:1" x14ac:dyDescent="0.25">
      <c r="A18" s="3" t="s">
        <v>100</v>
      </c>
    </row>
    <row r="19" spans="1:1" x14ac:dyDescent="0.25">
      <c r="A19" s="3" t="s">
        <v>101</v>
      </c>
    </row>
    <row r="20" spans="1:1" x14ac:dyDescent="0.25">
      <c r="A20" s="3" t="s">
        <v>102</v>
      </c>
    </row>
  </sheetData>
  <dataValidations count="6">
    <dataValidation type="list" allowBlank="1" sqref="G5:G14 C5:C14" xr:uid="{00000000-0002-0000-0100-000000000000}">
      <formula1>"Held,Watching,Exited"</formula1>
      <formula2>0</formula2>
    </dataValidation>
    <dataValidation type="list" allowBlank="1" sqref="F5:F14 P5:P14" xr:uid="{00000000-0002-0000-0100-000001000000}">
      <formula1>"Buy,Hold,Sell"</formula1>
      <formula2>0</formula2>
    </dataValidation>
    <dataValidation type="list" allowBlank="1" sqref="L5:L14" xr:uid="{00000000-0002-0000-0100-000002000000}">
      <formula1>"Bullish,Neutral,Bearish"</formula1>
      <formula2>0</formula2>
    </dataValidation>
    <dataValidation type="list" allowBlank="1" sqref="N5:N14" xr:uid="{00000000-0002-0000-0100-000003000000}">
      <formula1>"Strong,Solid,Weak"</formula1>
      <formula2>0</formula2>
    </dataValidation>
    <dataValidation type="list" allowBlank="1" sqref="Q5:Q14" xr:uid="{00000000-0002-0000-0100-000005000000}">
      <formula1>"1,2,3,4,5"</formula1>
      <formula2>0</formula2>
    </dataValidation>
    <dataValidation type="list" allowBlank="1" sqref="S5:S14" xr:uid="{00000000-0002-0000-0100-000006000000}">
      <formula1>"Updated,Unchanged"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Start Here</vt:lpstr>
      <vt:lpstr>Portfolio 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Girish Nair</cp:lastModifiedBy>
  <cp:revision>0</cp:revision>
  <dcterms:created xsi:type="dcterms:W3CDTF">2026-09-06T10:11:01Z</dcterms:created>
  <dcterms:modified xsi:type="dcterms:W3CDTF">2026-09-07T02:09:19Z</dcterms:modified>
  <dc:language>en-US</dc:language>
</cp:coreProperties>
</file>