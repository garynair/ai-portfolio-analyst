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8705" yWindow="135" windowWidth="18900" windowHeight="10890" tabRatio="500" firstSheet="0" activeTab="1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ortfolio State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\$#,##0.00;&quot;($&quot;#,##0.00\);\-"/>
    <numFmt numFmtId="166" formatCode="0.0%;\(0.0%\);\-"/>
  </numFmts>
  <fonts count="9">
    <font>
      <name val="Calibri"/>
      <charset val="1"/>
      <family val="2"/>
      <color theme="1"/>
      <sz val="11"/>
    </font>
    <font>
      <name val="Arial"/>
      <family val="2"/>
      <b val="1"/>
      <sz val="16"/>
    </font>
    <font>
      <name val="Arial"/>
      <family val="2"/>
      <i val="1"/>
      <color rgb="FF808080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rgb="FF0000FF"/>
      <sz val="10"/>
    </font>
    <font>
      <name val="Arial"/>
      <family val="2"/>
      <b val="1"/>
      <color rgb="FFFFFFFF"/>
      <sz val="9"/>
    </font>
    <font>
      <name val="Arial"/>
      <family val="2"/>
      <b val="1"/>
      <sz val="14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DEDED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9C6500"/>
        <bgColor rgb="FF993300"/>
      </patternFill>
    </fill>
    <fill>
      <patternFill patternType="solid">
        <fgColor rgb="FF595959"/>
        <bgColor rgb="FF215968"/>
      </patternFill>
    </fill>
    <fill>
      <patternFill patternType="solid">
        <fgColor rgb="FF215968"/>
        <b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5" fillId="3" borderId="1" pivotButton="0" quotePrefix="0" xfId="0"/>
    <xf numFmtId="0" fontId="6" fillId="0" borderId="1" pivotButton="0" quotePrefix="0" xfId="0"/>
    <xf numFmtId="0" fontId="7" fillId="4" borderId="1" pivotButton="0" quotePrefix="0" xfId="0"/>
    <xf numFmtId="0" fontId="5" fillId="0" borderId="1" pivotButton="0" quotePrefix="0" xfId="0"/>
    <xf numFmtId="0" fontId="8" fillId="0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/>
    </xf>
    <xf numFmtId="164" fontId="6" fillId="0" borderId="1" pivotButton="0" quotePrefix="0" xfId="0"/>
    <xf numFmtId="165" fontId="6" fillId="0" borderId="1" pivotButton="0" quotePrefix="0" xfId="0"/>
    <xf numFmtId="164" fontId="0" fillId="3" borderId="1" pivotButton="0" quotePrefix="0" xfId="0"/>
    <xf numFmtId="165" fontId="0" fillId="3" borderId="1" pivotButton="0" quotePrefix="0" xfId="0"/>
    <xf numFmtId="165" fontId="5" fillId="0" borderId="1" pivotButton="0" quotePrefix="0" xfId="0"/>
    <xf numFmtId="166" fontId="5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3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1596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topLeftCell="A12" zoomScaleNormal="100" workbookViewId="0">
      <selection activeCell="A20" sqref="A20"/>
    </sheetView>
  </sheetViews>
  <sheetFormatPr baseColWidth="8" defaultColWidth="8.7109375" defaultRowHeight="15"/>
  <cols>
    <col width="26" customWidth="1" min="1" max="1"/>
    <col width="18" customWidth="1" min="2" max="2"/>
    <col width="76" customWidth="1" min="3" max="3"/>
  </cols>
  <sheetData>
    <row r="1" ht="20.25" customHeight="1">
      <c r="A1" s="2" t="inlineStr">
        <is>
          <t>Start Here</t>
        </is>
      </c>
    </row>
    <row r="2">
      <c r="A2" s="3" t="inlineStr">
        <is>
          <t>AI Portfolio Analyst — starter template</t>
        </is>
      </c>
    </row>
    <row r="4" ht="15.75" customHeight="1">
      <c r="A4" s="4" t="inlineStr">
        <is>
          <t>What you fill in</t>
        </is>
      </c>
    </row>
    <row r="5">
      <c r="A5" s="5" t="inlineStr">
        <is>
          <t>1.</t>
        </is>
      </c>
      <c r="B5" s="1" t="inlineStr">
        <is>
          <t>Go to the 'Portfolio State' tab.</t>
        </is>
      </c>
    </row>
    <row r="6">
      <c r="A6" s="5" t="inlineStr">
        <is>
          <t>2.</t>
        </is>
      </c>
      <c r="B6" s="1" t="inlineStr">
        <is>
          <t>For each of the 10 stocks, fill the three YELLOW columns only:</t>
        </is>
      </c>
    </row>
    <row r="7">
      <c r="A7" s="5" t="n"/>
      <c r="B7" s="1" t="inlineStr">
        <is>
          <t xml:space="preserve">     Position Status      — Held, Watching or Exited</t>
        </is>
      </c>
    </row>
    <row r="8">
      <c r="A8" s="5" t="n"/>
      <c r="B8" s="1" t="inlineStr">
        <is>
          <t xml:space="preserve">     Previous Decision    — Buy, Hold or Sell</t>
        </is>
      </c>
    </row>
    <row r="9">
      <c r="A9" s="5" t="n"/>
      <c r="B9" s="1" t="inlineStr">
        <is>
          <t xml:space="preserve">     Previous Notes       — one line on why you hold that view</t>
        </is>
      </c>
    </row>
    <row r="10">
      <c r="A10" s="5" t="inlineStr">
        <is>
          <t>6.</t>
        </is>
      </c>
      <c r="B10" s="1" t="inlineStr">
        <is>
          <t>Delete the greyed-out EXAMPLE row.</t>
        </is>
      </c>
    </row>
    <row r="11">
      <c r="A11" s="5" t="inlineStr">
        <is>
          <t>7.</t>
        </is>
      </c>
      <c r="B11" s="1" t="inlineStr">
        <is>
          <t>Save the file. That is all you do by hand — ever.</t>
        </is>
      </c>
    </row>
    <row r="13" ht="15.75" customHeight="1">
      <c r="A13" s="4" t="inlineStr">
        <is>
          <t>Everything else</t>
        </is>
      </c>
    </row>
    <row r="14">
      <c r="A14" s="1" t="inlineStr">
        <is>
          <t>• Last Review Date and Reference Price are already filled with the 2026-08-04 close.</t>
        </is>
      </c>
    </row>
    <row r="15">
      <c r="A15" s="1" t="inlineStr">
        <is>
          <t>• Change ($) and Change (%) are formulas. They fill themselves.</t>
        </is>
      </c>
    </row>
    <row r="16">
      <c r="A16" s="1" t="inlineStr">
        <is>
          <t>• Every GREY column is written by an agent. Do not type in them.</t>
        </is>
      </c>
    </row>
    <row r="17">
      <c r="A17" s="1" t="inlineStr">
        <is>
          <t>• From the second run onward the agents fill the yellow columns too. You never touch this file again.</t>
        </is>
      </c>
    </row>
    <row r="19" ht="15.75" customHeight="1">
      <c r="A19" s="4" t="inlineStr">
        <is>
          <t>Colour key</t>
        </is>
      </c>
    </row>
    <row r="20">
      <c r="A20" s="6" t="inlineStr">
        <is>
          <t>You fill it</t>
        </is>
      </c>
    </row>
    <row r="21">
      <c r="A21" s="7" t="inlineStr">
        <is>
          <t>An agent fills it</t>
        </is>
      </c>
    </row>
    <row r="22">
      <c r="A22" s="8" t="inlineStr">
        <is>
          <t>Given data — do not edit</t>
        </is>
      </c>
    </row>
    <row r="25" ht="15.75" customHeight="1">
      <c r="A25" s="4" t="inlineStr">
        <is>
          <t>Column guide</t>
        </is>
      </c>
    </row>
    <row r="26">
      <c r="A26" s="9" t="inlineStr">
        <is>
          <t>Column</t>
        </is>
      </c>
      <c r="B26" s="9" t="inlineStr">
        <is>
          <t>Filled by</t>
        </is>
      </c>
      <c r="C26" s="9" t="inlineStr">
        <is>
          <t>Description</t>
        </is>
      </c>
    </row>
    <row r="27">
      <c r="A27" s="10" t="inlineStr">
        <is>
          <t>Ticker</t>
        </is>
      </c>
      <c r="B27" s="10" t="inlineStr">
        <is>
          <t>Given</t>
        </is>
      </c>
      <c r="C27" s="10" t="inlineStr">
        <is>
          <t>Stock symbol.</t>
        </is>
      </c>
    </row>
    <row r="28">
      <c r="A28" s="10" t="inlineStr">
        <is>
          <t>Company</t>
        </is>
      </c>
      <c r="B28" s="10" t="inlineStr">
        <is>
          <t>Given</t>
        </is>
      </c>
      <c r="C28" s="10" t="inlineStr">
        <is>
          <t>Company name.</t>
        </is>
      </c>
    </row>
    <row r="29">
      <c r="A29" s="10" t="inlineStr">
        <is>
          <t>Position Status</t>
        </is>
      </c>
      <c r="B29" s="6" t="inlineStr">
        <is>
          <t>YOU</t>
        </is>
      </c>
      <c r="C29" s="10" t="inlineStr">
        <is>
          <t>Held / Watching / Exited.</t>
        </is>
      </c>
    </row>
    <row r="30">
      <c r="A30" s="10" t="inlineStr">
        <is>
          <t>Last Review Date</t>
        </is>
      </c>
      <c r="B30" s="10" t="inlineStr">
        <is>
          <t>Given</t>
        </is>
      </c>
      <c r="C30" s="10" t="inlineStr">
        <is>
          <t>Date of the previous review.</t>
        </is>
      </c>
    </row>
    <row r="31">
      <c r="A31" s="10" t="inlineStr">
        <is>
          <t>Reference Price ($)</t>
        </is>
      </c>
      <c r="B31" s="10" t="inlineStr">
        <is>
          <t>Given</t>
        </is>
      </c>
      <c r="C31" s="10" t="inlineStr">
        <is>
          <t>Close on the last review date.</t>
        </is>
      </c>
    </row>
    <row r="32">
      <c r="A32" s="10" t="inlineStr">
        <is>
          <t>Previous Decision</t>
        </is>
      </c>
      <c r="B32" s="6" t="inlineStr">
        <is>
          <t>YOU</t>
        </is>
      </c>
      <c r="C32" s="10" t="inlineStr">
        <is>
          <t>Buy / Hold / Sell from last time.</t>
        </is>
      </c>
    </row>
    <row r="33">
      <c r="A33" s="10" t="inlineStr">
        <is>
          <t>Previous Notes</t>
        </is>
      </c>
      <c r="B33" s="6" t="inlineStr">
        <is>
          <t>YOU</t>
        </is>
      </c>
      <c r="C33" s="10" t="inlineStr">
        <is>
          <t>Prior rationale, carried forward.</t>
        </is>
      </c>
    </row>
    <row r="34">
      <c r="A34" s="10" t="inlineStr">
        <is>
          <t>Current Date</t>
        </is>
      </c>
      <c r="B34" s="7" t="inlineStr">
        <is>
          <t>Agent 02</t>
        </is>
      </c>
      <c r="C34" s="10" t="inlineStr">
        <is>
          <t>This run's date.</t>
        </is>
      </c>
    </row>
    <row r="35">
      <c r="A35" s="10" t="inlineStr">
        <is>
          <t>Current Price ($)</t>
        </is>
      </c>
      <c r="B35" s="7" t="inlineStr">
        <is>
          <t>Agent 02</t>
        </is>
      </c>
      <c r="C35" s="10" t="inlineStr">
        <is>
          <t>Latest close.</t>
        </is>
      </c>
    </row>
    <row r="36">
      <c r="A36" s="10" t="inlineStr">
        <is>
          <t>Change ($)</t>
        </is>
      </c>
      <c r="B36" s="10" t="inlineStr">
        <is>
          <t>Formula</t>
        </is>
      </c>
      <c r="C36" s="10" t="inlineStr">
        <is>
          <t>Current Price − Reference Price.</t>
        </is>
      </c>
    </row>
    <row r="37">
      <c r="A37" s="10" t="inlineStr">
        <is>
          <t>Change (%)</t>
        </is>
      </c>
      <c r="B37" s="10" t="inlineStr">
        <is>
          <t>Formula</t>
        </is>
      </c>
      <c r="C37" s="10" t="inlineStr">
        <is>
          <t>Same, as a percentage.</t>
        </is>
      </c>
    </row>
    <row r="38">
      <c r="A38" s="10" t="inlineStr">
        <is>
          <t>Technical View</t>
        </is>
      </c>
      <c r="B38" s="7" t="inlineStr">
        <is>
          <t>Agent 03</t>
        </is>
      </c>
      <c r="C38" s="10" t="inlineStr">
        <is>
          <t>Bullish / Neutral / Bearish.</t>
        </is>
      </c>
    </row>
    <row r="39">
      <c r="A39" s="10" t="inlineStr">
        <is>
          <t>Technical Detail</t>
        </is>
      </c>
      <c r="B39" s="7" t="inlineStr">
        <is>
          <t>Agent 03</t>
        </is>
      </c>
      <c r="C39" s="10" t="inlineStr">
        <is>
          <t>RSI, trend, moving averages.</t>
        </is>
      </c>
    </row>
    <row r="40">
      <c r="A40" s="10" t="inlineStr">
        <is>
          <t>Fundamental View</t>
        </is>
      </c>
      <c r="B40" s="7" t="inlineStr">
        <is>
          <t>Agent 03</t>
        </is>
      </c>
      <c r="C40" s="10" t="inlineStr">
        <is>
          <t>Strong / Solid / Weak.</t>
        </is>
      </c>
    </row>
    <row r="41">
      <c r="A41" s="10" t="inlineStr">
        <is>
          <t>Fundamental Detail</t>
        </is>
      </c>
      <c r="B41" s="7" t="inlineStr">
        <is>
          <t>Agent 03</t>
        </is>
      </c>
      <c r="C41" s="10" t="inlineStr">
        <is>
          <t>Growth, margins, valuation.</t>
        </is>
      </c>
    </row>
    <row r="42">
      <c r="A42" s="10" t="inlineStr">
        <is>
          <t>Final Decision</t>
        </is>
      </c>
      <c r="B42" s="7" t="inlineStr">
        <is>
          <t>Agent 04</t>
        </is>
      </c>
      <c r="C42" s="10" t="inlineStr">
        <is>
          <t>Buy / Hold / Sell.</t>
        </is>
      </c>
    </row>
    <row r="43">
      <c r="A43" s="10" t="inlineStr">
        <is>
          <t>Confidence (1-5)</t>
        </is>
      </c>
      <c r="B43" s="7" t="inlineStr">
        <is>
          <t>Agent 04</t>
        </is>
      </c>
      <c r="C43" s="10" t="inlineStr">
        <is>
          <t>1 = low, 5 = high.</t>
        </is>
      </c>
    </row>
    <row r="44">
      <c r="A44" s="10" t="inlineStr">
        <is>
          <t>Rationale</t>
        </is>
      </c>
      <c r="B44" s="7" t="inlineStr">
        <is>
          <t>Agent 04</t>
        </is>
      </c>
      <c r="C44" s="10" t="inlineStr">
        <is>
          <t>Why. The graded part.</t>
        </is>
      </c>
    </row>
    <row r="45">
      <c r="A45" s="10" t="inlineStr">
        <is>
          <t>Updated Status</t>
        </is>
      </c>
      <c r="B45" s="7" t="inlineStr">
        <is>
          <t>Agent 04</t>
        </is>
      </c>
      <c r="C45" s="10" t="inlineStr">
        <is>
          <t>Updated / Unchanged.</t>
        </is>
      </c>
    </row>
    <row r="46">
      <c r="A46" s="10" t="inlineStr">
        <is>
          <t>Decision Timestamp</t>
        </is>
      </c>
      <c r="B46" s="7" t="inlineStr">
        <is>
          <t>Agent 04</t>
        </is>
      </c>
      <c r="C46" s="10" t="inlineStr">
        <is>
          <t>When it was written.</t>
        </is>
      </c>
    </row>
    <row r="48">
      <c r="A48" s="3" t="inlineStr">
        <is>
          <t>Classroom exercise. Not investment advice. Do not trade on it.</t>
        </is>
      </c>
    </row>
  </sheetData>
  <mergeCells count="11">
    <mergeCell ref="B6:C6"/>
    <mergeCell ref="B7:C7"/>
    <mergeCell ref="B11:C11"/>
    <mergeCell ref="B5:C5"/>
    <mergeCell ref="A14:C14"/>
    <mergeCell ref="B10:C10"/>
    <mergeCell ref="A17:C17"/>
    <mergeCell ref="B9:C9"/>
    <mergeCell ref="B8:C8"/>
    <mergeCell ref="A16:C16"/>
    <mergeCell ref="A15:C15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5" sqref="A5:XFD5"/>
    </sheetView>
  </sheetViews>
  <sheetFormatPr baseColWidth="8" defaultColWidth="8.7109375" defaultRowHeight="15"/>
  <cols>
    <col width="10" customWidth="1" min="1" max="1"/>
    <col width="30" customWidth="1" min="2" max="2"/>
    <col width="14" customWidth="1" min="3" max="3"/>
    <col width="15" customWidth="1" min="4" max="6"/>
    <col width="34" customWidth="1" min="7" max="7"/>
    <col width="13" customWidth="1" min="8" max="8"/>
    <col width="14" customWidth="1" min="9" max="9"/>
    <col width="12" customWidth="1" min="10" max="10"/>
    <col width="11" customWidth="1" min="11" max="11"/>
    <col width="13" customWidth="1" min="12" max="12"/>
    <col width="34" customWidth="1" min="13" max="13"/>
    <col width="14" customWidth="1" min="14" max="14"/>
    <col width="34" customWidth="1" min="15" max="15"/>
    <col width="13" customWidth="1" min="16" max="16"/>
    <col width="12" customWidth="1" min="17" max="17"/>
    <col width="40" customWidth="1" min="18" max="18"/>
    <col width="13" customWidth="1" min="19" max="19"/>
    <col width="19" customWidth="1" min="20" max="20"/>
  </cols>
  <sheetData>
    <row r="1" ht="18" customHeight="1">
      <c r="A1" s="11" t="inlineStr">
        <is>
          <t>Portfolio State</t>
        </is>
      </c>
    </row>
    <row r="2">
      <c r="A2" s="3" t="inlineStr">
        <is>
          <t>Fill the YELLOW columns only. See the 'Start Here' tab.</t>
        </is>
      </c>
    </row>
    <row r="4" ht="43.5" customHeight="1">
      <c r="A4" s="12" t="inlineStr">
        <is>
          <t>Ticker</t>
        </is>
      </c>
      <c r="B4" s="12" t="inlineStr">
        <is>
          <t>Company</t>
        </is>
      </c>
      <c r="C4" s="13" t="inlineStr">
        <is>
          <t>Position Status</t>
        </is>
      </c>
      <c r="D4" s="12" t="inlineStr">
        <is>
          <t>Last Review Date</t>
        </is>
      </c>
      <c r="E4" s="12" t="inlineStr">
        <is>
          <t>Reference Price ($)</t>
        </is>
      </c>
      <c r="F4" s="13" t="inlineStr">
        <is>
          <t>Previous Decision</t>
        </is>
      </c>
      <c r="G4" s="13" t="inlineStr">
        <is>
          <t>Previous Notes</t>
        </is>
      </c>
      <c r="H4" s="14" t="inlineStr">
        <is>
          <t>Current Date</t>
        </is>
      </c>
      <c r="I4" s="14" t="inlineStr">
        <is>
          <t>Current Price ($)</t>
        </is>
      </c>
      <c r="J4" s="15" t="inlineStr">
        <is>
          <t>Change ($)</t>
        </is>
      </c>
      <c r="K4" s="15" t="inlineStr">
        <is>
          <t>Change (%)</t>
        </is>
      </c>
      <c r="L4" s="14" t="inlineStr">
        <is>
          <t>Technical View</t>
        </is>
      </c>
      <c r="M4" s="14" t="inlineStr">
        <is>
          <t>Technical Detail</t>
        </is>
      </c>
      <c r="N4" s="14" t="inlineStr">
        <is>
          <t>Fundamental View</t>
        </is>
      </c>
      <c r="O4" s="14" t="inlineStr">
        <is>
          <t>Fundamental Detail</t>
        </is>
      </c>
      <c r="P4" s="14" t="inlineStr">
        <is>
          <t>Final Decision</t>
        </is>
      </c>
      <c r="Q4" s="14" t="inlineStr">
        <is>
          <t>Confidence (1-5)</t>
        </is>
      </c>
      <c r="R4" s="14" t="inlineStr">
        <is>
          <t>Rationale</t>
        </is>
      </c>
      <c r="S4" s="14" t="inlineStr">
        <is>
          <t>Updated Status</t>
        </is>
      </c>
      <c r="T4" s="14" t="inlineStr">
        <is>
          <t>Decision Timestamp</t>
        </is>
      </c>
    </row>
    <row r="5">
      <c r="A5" s="10" t="inlineStr">
        <is>
          <t>NVDA</t>
        </is>
      </c>
      <c r="B5" s="10" t="inlineStr">
        <is>
          <t>Nvidia Corp</t>
        </is>
      </c>
      <c r="C5" s="16" t="inlineStr">
        <is>
          <t>Held</t>
        </is>
      </c>
      <c r="D5" s="17" t="n">
        <v>46238</v>
      </c>
      <c r="E5" s="18" t="n">
        <v>211.94</v>
      </c>
      <c r="F5" s="16" t="inlineStr">
        <is>
          <t>Hold</t>
        </is>
      </c>
      <c r="G5" s="16" t="inlineStr">
        <is>
          <t>Held</t>
        </is>
      </c>
      <c r="H5" s="19" t="n">
        <v>46269</v>
      </c>
      <c r="I5" s="20" t="n">
        <v>230.36</v>
      </c>
      <c r="J5" s="21">
        <f>IF(OR($I5="",$E5=""),"",$I5-$E5)</f>
        <v/>
      </c>
      <c r="K5" s="22">
        <f>IF(OR($I5="",$E5="",$E5=0),"",($I5-$E5)/$E5)</f>
        <v/>
      </c>
      <c r="L5" s="23" t="inlineStr">
        <is>
          <t>Bullish</t>
        </is>
      </c>
      <c r="M5" s="24" t="inlineStr">
        <is>
          <t>SMA20=220.08 SMA50=210.57 RSI14=60.38 MACD=3.823 MACD_signal=2.982 MACD_hist=0.841 Support20d=207.25 Resistance20d=234.76 VolTrend10dVs10d%=61.7 Momentum1m%=5.19 (n=100 days, latest=2026-09-04)</t>
        </is>
      </c>
      <c r="N5" s="23" t="inlineStr">
        <is>
          <t>insufficient data</t>
        </is>
      </c>
      <c r="O5" s="24" t="inlineStr">
        <is>
          <t>insufficient data - no fundamentals endpoint was fetched (Agent 02 only calls TIME_SERIES_DAILY)</t>
        </is>
      </c>
      <c r="P5" s="23" t="n"/>
      <c r="Q5" s="23" t="n"/>
      <c r="R5" s="24" t="n"/>
      <c r="S5" s="23" t="n"/>
      <c r="T5" s="25" t="n"/>
    </row>
    <row r="6">
      <c r="A6" s="10" t="inlineStr">
        <is>
          <t>AAPL</t>
        </is>
      </c>
      <c r="B6" s="10" t="inlineStr">
        <is>
          <t>Apple Inc</t>
        </is>
      </c>
      <c r="C6" s="16" t="inlineStr">
        <is>
          <t>Held</t>
        </is>
      </c>
      <c r="D6" s="17" t="n">
        <v>46238</v>
      </c>
      <c r="E6" s="18" t="n">
        <v>309.38</v>
      </c>
      <c r="F6" s="16" t="inlineStr">
        <is>
          <t>Hold</t>
        </is>
      </c>
      <c r="G6" s="16" t="inlineStr">
        <is>
          <t>Held</t>
        </is>
      </c>
      <c r="H6" s="19" t="n">
        <v>46269</v>
      </c>
      <c r="I6" s="20" t="n">
        <v>319.97</v>
      </c>
      <c r="J6" s="21">
        <f>IF(OR($I6="",$E6=""),"",$I6-$E6)</f>
        <v/>
      </c>
      <c r="K6" s="22">
        <f>IF(OR($I6="",$E6="",$E6=0),"",($I6-$E6)/$E6)</f>
        <v/>
      </c>
      <c r="L6" s="23" t="inlineStr">
        <is>
          <t>Neutral</t>
        </is>
      </c>
      <c r="M6" s="24" t="inlineStr">
        <is>
          <t>SMA20=313.14 SMA50=315.15 RSI14=53.86 MACD=2.588 MACD_signal=1.028 MACD_hist=1.56 Support20d=300.57 Resistance20d=330.81 VolTrend10dVs10d%=-12.3 Momentum1m%=2.42 (n=100 days, latest=2026-09-04)</t>
        </is>
      </c>
      <c r="N6" s="23" t="inlineStr">
        <is>
          <t>insufficient data</t>
        </is>
      </c>
      <c r="O6" s="24" t="inlineStr">
        <is>
          <t>insufficient data - no fundamentals endpoint was fetched (Agent 02 only calls TIME_SERIES_DAILY)</t>
        </is>
      </c>
      <c r="P6" s="23" t="n"/>
      <c r="Q6" s="23" t="n"/>
      <c r="R6" s="24" t="n"/>
      <c r="S6" s="23" t="n"/>
      <c r="T6" s="25" t="n"/>
    </row>
    <row r="7">
      <c r="A7" s="10" t="inlineStr">
        <is>
          <t>GOOGL</t>
        </is>
      </c>
      <c r="B7" s="10" t="inlineStr">
        <is>
          <t>Alphabet Inc Class A</t>
        </is>
      </c>
      <c r="C7" s="16" t="inlineStr">
        <is>
          <t>Held</t>
        </is>
      </c>
      <c r="D7" s="17" t="n">
        <v>46238</v>
      </c>
      <c r="E7" s="18" t="n">
        <v>377.65</v>
      </c>
      <c r="F7" s="16" t="inlineStr">
        <is>
          <t>Hold</t>
        </is>
      </c>
      <c r="G7" s="16" t="inlineStr">
        <is>
          <t>Held</t>
        </is>
      </c>
      <c r="H7" s="19" t="n">
        <v>46269</v>
      </c>
      <c r="I7" s="20" t="n">
        <v>338.46</v>
      </c>
      <c r="J7" s="21">
        <f>IF(OR($I7="",$E7=""),"",$I7-$E7)</f>
        <v/>
      </c>
      <c r="K7" s="22">
        <f>IF(OR($I7="",$E7="",$E7=0),"",($I7-$E7)/$E7)</f>
        <v/>
      </c>
      <c r="L7" s="23" t="inlineStr">
        <is>
          <t>Bearish</t>
        </is>
      </c>
      <c r="M7" s="24" t="inlineStr">
        <is>
          <t>SMA20=343.61 SMA50=348.57 RSI14=44.79 MACD=-2.997 MACD_signal=-2.616 MACD_hist=-0.381 Support20d=332.82 Resistance20d=357.61 VolTrend10dVs10d%=16.6 Momentum1m%=-5.39 (n=100 days, latest=2026-09-04)</t>
        </is>
      </c>
      <c r="N7" s="23" t="inlineStr">
        <is>
          <t>insufficient data</t>
        </is>
      </c>
      <c r="O7" s="24" t="inlineStr">
        <is>
          <t>insufficient data - no fundamentals endpoint was fetched (Agent 02 only calls TIME_SERIES_DAILY)</t>
        </is>
      </c>
      <c r="P7" s="23" t="n"/>
      <c r="Q7" s="23" t="n"/>
      <c r="R7" s="24" t="n"/>
      <c r="S7" s="23" t="n"/>
      <c r="T7" s="25" t="n"/>
    </row>
    <row r="8">
      <c r="A8" s="10" t="inlineStr">
        <is>
          <t>MSFT</t>
        </is>
      </c>
      <c r="B8" s="10" t="inlineStr">
        <is>
          <t>Microsoft Corp</t>
        </is>
      </c>
      <c r="C8" s="16" t="inlineStr">
        <is>
          <t>Held</t>
        </is>
      </c>
      <c r="D8" s="17" t="n">
        <v>46238</v>
      </c>
      <c r="E8" s="18" t="n">
        <v>492.81</v>
      </c>
      <c r="F8" s="16" t="inlineStr">
        <is>
          <t>Hold</t>
        </is>
      </c>
      <c r="G8" s="16" t="inlineStr">
        <is>
          <t>Held</t>
        </is>
      </c>
      <c r="H8" s="19" t="n">
        <v>46269</v>
      </c>
      <c r="I8" s="20" t="n">
        <v>499.7</v>
      </c>
      <c r="J8" s="21">
        <f>IF(OR($I8="",$E8=""),"",$I8-$E8)</f>
        <v/>
      </c>
      <c r="K8" s="22">
        <f>IF(OR($I8="",$E8="",$E8=0),"",($I8-$E8)/$E8)</f>
        <v/>
      </c>
      <c r="L8" s="23" t="inlineStr">
        <is>
          <t>Neutral</t>
        </is>
      </c>
      <c r="M8" s="24" t="inlineStr">
        <is>
          <t>SMA20=495.71 SMA50=444.17 RSI14=59.39 MACD=15.247 MACD_signal=17.622 MACD_hist=-2.374 Support20d=477.15 Resistance20d=517.78 VolTrend10dVs10d%=-7.3 Momentum1m%=-0.03 (n=100 days, latest=2026-09-04)</t>
        </is>
      </c>
      <c r="N8" s="23" t="inlineStr">
        <is>
          <t>insufficient data</t>
        </is>
      </c>
      <c r="O8" s="24" t="inlineStr">
        <is>
          <t>insufficient data - no fundamentals endpoint was fetched (Agent 02 only calls TIME_SERIES_DAILY)</t>
        </is>
      </c>
      <c r="P8" s="23" t="n"/>
      <c r="Q8" s="23" t="n"/>
      <c r="R8" s="24" t="n"/>
      <c r="S8" s="23" t="n"/>
      <c r="T8" s="25" t="n"/>
    </row>
    <row r="9">
      <c r="A9" s="10" t="inlineStr">
        <is>
          <t>AMZN</t>
        </is>
      </c>
      <c r="B9" s="10" t="inlineStr">
        <is>
          <t>Amazon.com Inc</t>
        </is>
      </c>
      <c r="C9" s="16" t="inlineStr">
        <is>
          <t>Held</t>
        </is>
      </c>
      <c r="D9" s="17" t="n">
        <v>46238</v>
      </c>
      <c r="E9" s="18" t="n">
        <v>277.42</v>
      </c>
      <c r="F9" s="16" t="inlineStr">
        <is>
          <t>Hold</t>
        </is>
      </c>
      <c r="G9" s="16" t="inlineStr">
        <is>
          <t>Held</t>
        </is>
      </c>
      <c r="H9" s="19" t="n">
        <v>46269</v>
      </c>
      <c r="I9" s="20" t="n">
        <v>258.51</v>
      </c>
      <c r="J9" s="21">
        <f>IF(OR($I9="",$E9=""),"",$I9-$E9)</f>
        <v/>
      </c>
      <c r="K9" s="22">
        <f>IF(OR($I9="",$E9="",$E9=0),"",($I9-$E9)/$E9)</f>
        <v/>
      </c>
      <c r="L9" s="23" t="inlineStr">
        <is>
          <t>Neutral</t>
        </is>
      </c>
      <c r="M9" s="24" t="inlineStr">
        <is>
          <t>SMA20=262.2 SMA50=253.95 RSI14=49.54 MACD=0.326 MACD_signal=1.499 MACD_hist=-1.173 Support20d=251.93 Resistance20d=280.14 VolTrend10dVs10d%=-4.1 Momentum1m%=-5.05 (n=100 days, latest=2026-09-04)</t>
        </is>
      </c>
      <c r="N9" s="23" t="inlineStr">
        <is>
          <t>insufficient data</t>
        </is>
      </c>
      <c r="O9" s="24" t="inlineStr">
        <is>
          <t>insufficient data - no fundamentals endpoint was fetched (Agent 02 only calls TIME_SERIES_DAILY)</t>
        </is>
      </c>
      <c r="P9" s="23" t="n"/>
      <c r="Q9" s="23" t="n"/>
      <c r="R9" s="24" t="n"/>
      <c r="S9" s="23" t="n"/>
      <c r="T9" s="25" t="n"/>
    </row>
    <row r="10">
      <c r="A10" s="10" t="inlineStr">
        <is>
          <t>TSM</t>
        </is>
      </c>
      <c r="B10" s="10" t="inlineStr">
        <is>
          <t>Taiwan Semiconductor Mfg (ADR)</t>
        </is>
      </c>
      <c r="C10" s="16" t="inlineStr">
        <is>
          <t>Held</t>
        </is>
      </c>
      <c r="D10" s="17" t="n">
        <v>46238</v>
      </c>
      <c r="E10" s="18" t="n">
        <v>417.17</v>
      </c>
      <c r="F10" s="16" t="inlineStr">
        <is>
          <t>Hold</t>
        </is>
      </c>
      <c r="G10" s="16" t="inlineStr">
        <is>
          <t>Held</t>
        </is>
      </c>
      <c r="H10" s="19" t="n">
        <v>46269</v>
      </c>
      <c r="I10" s="20" t="n">
        <v>428.91</v>
      </c>
      <c r="J10" s="21">
        <f>IF(OR($I10="",$E10=""),"",$I10-$E10)</f>
        <v/>
      </c>
      <c r="K10" s="22">
        <f>IF(OR($I10="",$E10="",$E10=0),"",($I10-$E10)/$E10)</f>
        <v/>
      </c>
      <c r="L10" s="23" t="inlineStr">
        <is>
          <t>Neutral</t>
        </is>
      </c>
      <c r="M10" s="24" t="inlineStr">
        <is>
          <t>SMA20=419.94 SMA50=420.41 RSI14=56.69 MACD=0.604 MACD_signal=0.013 MACD_hist=0.591 Support20d=405.15 Resistance20d=436.04 VolTrend10dVs10d%=-9.3 Momentum1m%=2.56 (n=100 days, latest=2026-09-04)</t>
        </is>
      </c>
      <c r="N10" s="23" t="inlineStr">
        <is>
          <t>insufficient data</t>
        </is>
      </c>
      <c r="O10" s="24" t="inlineStr">
        <is>
          <t>insufficient data - no fundamentals endpoint was fetched (Agent 02 only calls TIME_SERIES_DAILY)</t>
        </is>
      </c>
      <c r="P10" s="23" t="n"/>
      <c r="Q10" s="23" t="n"/>
      <c r="R10" s="24" t="n"/>
      <c r="S10" s="23" t="n"/>
      <c r="T10" s="25" t="n"/>
    </row>
    <row r="11">
      <c r="A11" s="10" t="inlineStr">
        <is>
          <t>SPCX</t>
        </is>
      </c>
      <c r="B11" s="10" t="inlineStr">
        <is>
          <t>Space Exploration Technologies Cl A</t>
        </is>
      </c>
      <c r="C11" s="16" t="inlineStr">
        <is>
          <t>Held</t>
        </is>
      </c>
      <c r="D11" s="17" t="n">
        <v>46238</v>
      </c>
      <c r="E11" s="18" t="n">
        <v>125.33</v>
      </c>
      <c r="F11" s="16" t="inlineStr">
        <is>
          <t>Hold</t>
        </is>
      </c>
      <c r="G11" s="16" t="inlineStr">
        <is>
          <t>Held</t>
        </is>
      </c>
      <c r="H11" s="19" t="n">
        <v>46269</v>
      </c>
      <c r="I11" s="20" t="n">
        <v>147.95</v>
      </c>
      <c r="J11" s="21">
        <f>IF(OR($I11="",$E11=""),"",$I11-$E11)</f>
        <v/>
      </c>
      <c r="K11" s="22">
        <f>IF(OR($I11="",$E11="",$E11=0),"",($I11-$E11)/$E11)</f>
        <v/>
      </c>
      <c r="L11" s="23" t="inlineStr">
        <is>
          <t>Bullish</t>
        </is>
      </c>
      <c r="M11" s="24" t="inlineStr">
        <is>
          <t>SMA20=140.95 SMA50=135.98 RSI14=62.62 MACD=3.354 MACD_signal=2.226 MACD_hist=1.128 Support20d=130.17 Resistance20d=152.3 VolTrend10dVs10d%=-45.4 Momentum1m%=28.74 (n=59 days, latest=2026-09-04)</t>
        </is>
      </c>
      <c r="N11" s="23" t="inlineStr">
        <is>
          <t>insufficient data</t>
        </is>
      </c>
      <c r="O11" s="24" t="inlineStr">
        <is>
          <t>insufficient data - no fundamentals endpoint was fetched (Agent 02 only calls TIME_SERIES_DAILY)</t>
        </is>
      </c>
      <c r="P11" s="23" t="n"/>
      <c r="Q11" s="23" t="n"/>
      <c r="R11" s="24" t="n"/>
      <c r="S11" s="23" t="n"/>
      <c r="T11" s="25" t="n"/>
    </row>
    <row r="12">
      <c r="A12" s="10" t="inlineStr">
        <is>
          <t>AVGO</t>
        </is>
      </c>
      <c r="B12" s="10" t="inlineStr">
        <is>
          <t>Broadcom Inc</t>
        </is>
      </c>
      <c r="C12" s="16" t="inlineStr">
        <is>
          <t>Held</t>
        </is>
      </c>
      <c r="D12" s="17" t="n">
        <v>46238</v>
      </c>
      <c r="E12" s="18" t="n">
        <v>418.16</v>
      </c>
      <c r="F12" s="16" t="inlineStr">
        <is>
          <t>Hold</t>
        </is>
      </c>
      <c r="G12" s="16" t="inlineStr">
        <is>
          <t>Held</t>
        </is>
      </c>
      <c r="H12" s="19" t="n">
        <v>46269</v>
      </c>
      <c r="I12" s="20" t="n">
        <v>357.895</v>
      </c>
      <c r="J12" s="21">
        <f>IF(OR($I12="",$E12=""),"",$I12-$E12)</f>
        <v/>
      </c>
      <c r="K12" s="22">
        <f>IF(OR($I12="",$E12="",$E12=0),"",($I12-$E12)/$E12)</f>
        <v/>
      </c>
      <c r="L12" s="23" t="inlineStr">
        <is>
          <t>Bearish</t>
        </is>
      </c>
      <c r="M12" s="24" t="inlineStr">
        <is>
          <t>SMA20=378.32 SMA50=383.66 RSI14=38.02 MACD=-8.833 MACD_signal=-7.456 MACD_hist=-1.376 Support20d=342.33 Resistance20d=432.73 VolTrend10dVs10d%=32.2 Momentum1m%=-14.9 (n=100 days, latest=2026-09-04)</t>
        </is>
      </c>
      <c r="N12" s="23" t="inlineStr">
        <is>
          <t>insufficient data</t>
        </is>
      </c>
      <c r="O12" s="24" t="inlineStr">
        <is>
          <t>insufficient data - no fundamentals endpoint was fetched (Agent 02 only calls TIME_SERIES_DAILY)</t>
        </is>
      </c>
      <c r="P12" s="23" t="n"/>
      <c r="Q12" s="23" t="n"/>
      <c r="R12" s="24" t="n"/>
      <c r="S12" s="23" t="n"/>
      <c r="T12" s="25" t="n"/>
    </row>
    <row r="13">
      <c r="A13" s="10" t="inlineStr">
        <is>
          <t>META</t>
        </is>
      </c>
      <c r="B13" s="10" t="inlineStr">
        <is>
          <t>Meta Platforms Inc</t>
        </is>
      </c>
      <c r="C13" s="16" t="inlineStr">
        <is>
          <t>Held</t>
        </is>
      </c>
      <c r="D13" s="17" t="n">
        <v>46238</v>
      </c>
      <c r="E13" s="18" t="n">
        <v>587.9400000000001</v>
      </c>
      <c r="F13" s="16" t="inlineStr">
        <is>
          <t>Hold</t>
        </is>
      </c>
      <c r="G13" s="16" t="inlineStr">
        <is>
          <t>Held</t>
        </is>
      </c>
      <c r="H13" s="19" t="n"/>
      <c r="I13" s="20" t="n"/>
      <c r="J13" s="21">
        <f>IF(OR($I13="",$E13=""),"",$I13-$E13)</f>
        <v/>
      </c>
      <c r="K13" s="22">
        <f>IF(OR($I13="",$E13="",$E13=0),"",($I13-$E13)/$E13)</f>
        <v/>
      </c>
      <c r="L13" s="23" t="inlineStr">
        <is>
          <t>insufficient history</t>
        </is>
      </c>
      <c r="M13" s="24" t="inlineStr">
        <is>
          <t>no price data fetched for this ticker (Agent 02 hit the daily API rate limit before this ticker)</t>
        </is>
      </c>
      <c r="N13" s="23" t="inlineStr">
        <is>
          <t>insufficient data</t>
        </is>
      </c>
      <c r="O13" s="24" t="inlineStr">
        <is>
          <t>insufficient data - no fundamentals endpoint was fetched (Agent 02 only calls TIME_SERIES_DAILY)</t>
        </is>
      </c>
      <c r="P13" s="23" t="n"/>
      <c r="Q13" s="23" t="n"/>
      <c r="R13" s="24" t="n"/>
      <c r="S13" s="23" t="n"/>
      <c r="T13" s="25" t="n"/>
    </row>
    <row r="14">
      <c r="A14" s="10" t="inlineStr">
        <is>
          <t>TSLA</t>
        </is>
      </c>
      <c r="B14" s="10" t="inlineStr">
        <is>
          <t>Tesla Inc</t>
        </is>
      </c>
      <c r="C14" s="16" t="inlineStr">
        <is>
          <t>Held</t>
        </is>
      </c>
      <c r="D14" s="17" t="n">
        <v>46238</v>
      </c>
      <c r="E14" s="18" t="n">
        <v>327.35</v>
      </c>
      <c r="F14" s="16" t="inlineStr">
        <is>
          <t>Hold</t>
        </is>
      </c>
      <c r="G14" s="16" t="inlineStr">
        <is>
          <t>Held</t>
        </is>
      </c>
      <c r="H14" s="19" t="n"/>
      <c r="I14" s="20" t="n"/>
      <c r="J14" s="21">
        <f>IF(OR($I14="",$E14=""),"",$I14-$E14)</f>
        <v/>
      </c>
      <c r="K14" s="22">
        <f>IF(OR($I14="",$E14="",$E14=0),"",($I14-$E14)/$E14)</f>
        <v/>
      </c>
      <c r="L14" s="23" t="inlineStr">
        <is>
          <t>insufficient history</t>
        </is>
      </c>
      <c r="M14" s="24" t="inlineStr">
        <is>
          <t>no price data fetched for this ticker (Agent 02 hit the daily API rate limit before this ticker)</t>
        </is>
      </c>
      <c r="N14" s="23" t="inlineStr">
        <is>
          <t>insufficient data</t>
        </is>
      </c>
      <c r="O14" s="24" t="inlineStr">
        <is>
          <t>insufficient data - no fundamentals endpoint was fetched (Agent 02 only calls TIME_SERIES_DAILY)</t>
        </is>
      </c>
      <c r="P14" s="23" t="n"/>
      <c r="Q14" s="23" t="n"/>
      <c r="R14" s="24" t="n"/>
      <c r="S14" s="23" t="n"/>
      <c r="T14" s="25" t="n"/>
    </row>
    <row r="16">
      <c r="A16" s="3" t="inlineStr">
        <is>
          <t>• Last Review Date and Reference Price = 2026-08-04 close (Alpha Vantage, retrieved 2026-09-06).</t>
        </is>
      </c>
    </row>
    <row r="17">
      <c r="A17" s="3" t="inlineStr">
        <is>
          <t>• SPCX began trading 2026-06-12, so it has a shorter history than the other nine.</t>
        </is>
      </c>
    </row>
    <row r="18">
      <c r="A18" s="3" t="inlineStr">
        <is>
          <t>• TSM is the US-listed ADR, not the Taiwan local share.</t>
        </is>
      </c>
    </row>
    <row r="19">
      <c r="A19" s="3" t="inlineStr">
        <is>
          <t>• Prices are unadjusted closes; a split or dividend will look like a price move.</t>
        </is>
      </c>
    </row>
    <row r="20">
      <c r="A20" s="3" t="inlineStr">
        <is>
          <t>• Classroom exercise. Not investment advice.</t>
        </is>
      </c>
    </row>
  </sheetData>
  <dataValidations count="6">
    <dataValidation sqref="C5:C14 G5:G14" showDropDown="0" showInputMessage="0" showErrorMessage="0" allowBlank="1" type="list">
      <formula1>"Held,Watching,Exited"</formula1>
      <formula2>0</formula2>
    </dataValidation>
    <dataValidation sqref="F5:F14 P5:P14" showDropDown="0" showInputMessage="0" showErrorMessage="0" allowBlank="1" type="list">
      <formula1>"Buy,Hold,Sell"</formula1>
      <formula2>0</formula2>
    </dataValidation>
    <dataValidation sqref="L5:L14" showDropDown="0" showInputMessage="0" showErrorMessage="0" allowBlank="1" type="list">
      <formula1>"Bullish,Neutral,Bearish"</formula1>
      <formula2>0</formula2>
    </dataValidation>
    <dataValidation sqref="N5:N14" showDropDown="0" showInputMessage="0" showErrorMessage="0" allowBlank="1" type="list">
      <formula1>"Strong,Solid,Weak"</formula1>
      <formula2>0</formula2>
    </dataValidation>
    <dataValidation sqref="Q5:Q14" showDropDown="0" showInputMessage="0" showErrorMessage="0" allowBlank="1" type="list">
      <formula1>"1,2,3,4,5"</formula1>
      <formula2>0</formula2>
    </dataValidation>
    <dataValidation sqref="S5:S14" showDropDown="0" showInputMessage="0" showErrorMessage="0" allowBlank="1" type="list">
      <formula1>"Updated,Unchanged"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2026-09-06T10:11:01Z</dcterms:created>
  <dcterms:modified xmlns:dcterms="http://purl.org/dc/terms/" xmlns:xsi="http://www.w3.org/2001/XMLSchema-instance" xsi:type="dcterms:W3CDTF">2026-09-07T02:28:59Z</dcterms:modified>
  <cp:lastModifiedBy>Girish Nair</cp:lastModifiedBy>
  <cp:revision>0</cp:revision>
</cp:coreProperties>
</file>